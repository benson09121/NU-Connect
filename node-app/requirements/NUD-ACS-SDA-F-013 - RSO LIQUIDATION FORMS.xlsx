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D-ACS-SDA-F-013" sheetId="1" r:id="rId4"/>
  </sheets>
  <definedNames/>
  <calcPr/>
  <extLst>
    <ext uri="GoogleSheetsCustomDataVersion2">
      <go:sheetsCustomData xmlns:go="http://customooxmlschemas.google.com/" r:id="rId5" roundtripDataChecksum="5Nm03xse8gnq1ZOBdWEKlwerwLVxkztw5IjkZWPJSf4="/>
    </ext>
  </extLst>
</workbook>
</file>

<file path=xl/sharedStrings.xml><?xml version="1.0" encoding="utf-8"?>
<sst xmlns="http://schemas.openxmlformats.org/spreadsheetml/2006/main" count="78" uniqueCount="54">
  <si>
    <t xml:space="preserve">RSO LIQUIDATION FORM </t>
  </si>
  <si>
    <t>NUD-ACS-SDA-F-013</t>
  </si>
  <si>
    <t>NUD-ACS-SDA-F-011</t>
  </si>
  <si>
    <t>ver 2024</t>
  </si>
  <si>
    <t>BANYUHAY 2024</t>
  </si>
  <si>
    <t>NAME OF ORGANIZATION:</t>
  </si>
  <si>
    <t>NUD STUDENT GOVERNMENT</t>
  </si>
  <si>
    <t xml:space="preserve">   DATE:</t>
  </si>
  <si>
    <t>DATE</t>
  </si>
  <si>
    <t>OR NO.</t>
  </si>
  <si>
    <t>PAYEE</t>
  </si>
  <si>
    <t>PARTICULARS</t>
  </si>
  <si>
    <t>AMOUNT</t>
  </si>
  <si>
    <t>EXPENSE: (TYPE OF EXPENSE) FOR EXAMPLE: FOOD, DECORATION, ETC.</t>
  </si>
  <si>
    <t>ZION'S HOUSE OF PASALUBONG</t>
  </si>
  <si>
    <t>FOODS AND SNACKS</t>
  </si>
  <si>
    <t>SM STORE DASMARIÑAS</t>
  </si>
  <si>
    <t>HANDSOAP</t>
  </si>
  <si>
    <t>12/13/24</t>
  </si>
  <si>
    <t>SM SUPERMARKET</t>
  </si>
  <si>
    <t>SM BONUS WATER</t>
  </si>
  <si>
    <t>JOLLIBEE FOODS CORPORATION</t>
  </si>
  <si>
    <t>MEALS</t>
  </si>
  <si>
    <t>COFFEE, MILO,GLOVES, TISSUE</t>
  </si>
  <si>
    <t>GREENWICH</t>
  </si>
  <si>
    <t>WATER, CANDIES, ALCOHOL AND WIPES</t>
  </si>
  <si>
    <t>12/23/24</t>
  </si>
  <si>
    <t>CUZ VENTURE, INC</t>
  </si>
  <si>
    <t>ACE HARDWARE</t>
  </si>
  <si>
    <t>NYLON</t>
  </si>
  <si>
    <t>OFFICE WAREHOUSE. INC.</t>
  </si>
  <si>
    <t>CARTOLINA</t>
  </si>
  <si>
    <t>Sub-Total</t>
  </si>
  <si>
    <t>EXPENSE: PAYMENT FOR ARTIST</t>
  </si>
  <si>
    <t>-</t>
  </si>
  <si>
    <t>THE SUN</t>
  </si>
  <si>
    <t>WE THE SANTIAGO</t>
  </si>
  <si>
    <t>THIS BAND</t>
  </si>
  <si>
    <t>EXPENSE: MISCELLANEOUS</t>
  </si>
  <si>
    <t>11/28/24</t>
  </si>
  <si>
    <t>DELIVERY FEE</t>
  </si>
  <si>
    <t>TOTAL EXPENSES</t>
  </si>
  <si>
    <t>APPROVED BUDGET</t>
  </si>
  <si>
    <t>CASH ON HAND TO BE RETURNED/REFUND</t>
  </si>
  <si>
    <t>Prepared by:</t>
  </si>
  <si>
    <t>Checked by:</t>
  </si>
  <si>
    <t>Reviewed by:</t>
  </si>
  <si>
    <t>Reviewed By:</t>
  </si>
  <si>
    <t>AUDITOR/TREASURER</t>
  </si>
  <si>
    <t>PRESIDENT</t>
  </si>
  <si>
    <t>(Signature over printed name)</t>
  </si>
  <si>
    <t xml:space="preserve">Date: </t>
  </si>
  <si>
    <t xml:space="preserve">Date:  </t>
  </si>
  <si>
    <t>Date: 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</si>
</sst>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4">
    <font>
      <sz val="11.0"/>
      <color theme="1"/>
      <name val="Aptos Narrow"/>
      <scheme val="minor"/>
    </font>
    <font>
      <sz val="11.0"/>
      <color theme="1"/>
      <name val="Arial"/>
    </font>
    <font>
      <b/>
      <sz val="22.0"/>
      <color rgb="FFFFFFFF"/>
      <name val="Arial Narrow"/>
    </font>
    <font/>
    <font>
      <sz val="11.0"/>
      <color theme="1"/>
      <name val="Arial Narrow"/>
    </font>
    <font>
      <sz val="11.0"/>
      <color rgb="FFFFFFFF"/>
      <name val="Arial Narrow"/>
    </font>
    <font>
      <sz val="10.0"/>
      <color rgb="FF000000"/>
      <name val="Arial Narrow"/>
    </font>
    <font>
      <sz val="10.0"/>
      <color theme="1"/>
      <name val="Arial Narrow"/>
    </font>
    <font>
      <b/>
      <sz val="16.0"/>
      <color rgb="FFFFFFFF"/>
      <name val="Arial Narrow"/>
    </font>
    <font>
      <b/>
      <sz val="14.0"/>
      <color rgb="FFFF0000"/>
      <name val="Arial"/>
    </font>
    <font>
      <b/>
      <i/>
      <sz val="8.0"/>
      <color theme="1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20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1.0"/>
      <color rgb="FFFF0000"/>
      <name val="Arial"/>
    </font>
    <font>
      <i/>
      <sz val="10.0"/>
      <color theme="1"/>
      <name val="Arial"/>
    </font>
    <font>
      <i/>
      <sz val="10.0"/>
      <color rgb="FFFF0000"/>
      <name val="Arial"/>
    </font>
    <font>
      <i/>
      <sz val="9.0"/>
      <color theme="1"/>
      <name val="Arial"/>
    </font>
    <font>
      <b/>
      <i/>
      <sz val="9.0"/>
      <color theme="1"/>
      <name val="Arial"/>
    </font>
    <font>
      <b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5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0" fillId="0" fontId="5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0" fillId="0" fontId="8" numFmtId="0" xfId="0" applyAlignment="1" applyFont="1">
      <alignment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9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0" fillId="0" fontId="10" numFmtId="0" xfId="0" applyFont="1"/>
    <xf borderId="0" fillId="0" fontId="1" numFmtId="0" xfId="0" applyAlignment="1" applyFont="1">
      <alignment vertical="center"/>
    </xf>
    <xf borderId="15" fillId="0" fontId="11" numFmtId="0" xfId="0" applyAlignment="1" applyBorder="1" applyFont="1">
      <alignment horizontal="left" vertical="center"/>
    </xf>
    <xf borderId="16" fillId="0" fontId="3" numFmtId="0" xfId="0" applyBorder="1" applyFont="1"/>
    <xf borderId="17" fillId="0" fontId="12" numFmtId="0" xfId="0" applyAlignment="1" applyBorder="1" applyFont="1">
      <alignment horizontal="left" vertical="center"/>
    </xf>
    <xf borderId="18" fillId="0" fontId="11" numFmtId="0" xfId="0" applyAlignment="1" applyBorder="1" applyFont="1">
      <alignment horizontal="right" vertical="center"/>
    </xf>
    <xf borderId="17" fillId="0" fontId="12" numFmtId="15" xfId="0" applyAlignment="1" applyBorder="1" applyFont="1" applyNumberFormat="1">
      <alignment horizontal="center" readingOrder="0" vertical="center"/>
    </xf>
    <xf borderId="19" fillId="0" fontId="3" numFmtId="0" xfId="0" applyBorder="1" applyFont="1"/>
    <xf borderId="20" fillId="0" fontId="13" numFmtId="0" xfId="0" applyAlignment="1" applyBorder="1" applyFont="1">
      <alignment horizontal="left" vertical="center"/>
    </xf>
    <xf borderId="10" fillId="0" fontId="14" numFmtId="0" xfId="0" applyAlignment="1" applyBorder="1" applyFont="1">
      <alignment horizontal="left" vertical="center"/>
    </xf>
    <xf borderId="10" fillId="0" fontId="15" numFmtId="0" xfId="0" applyAlignment="1" applyBorder="1" applyFont="1">
      <alignment horizontal="left" vertical="center"/>
    </xf>
    <xf borderId="10" fillId="0" fontId="13" numFmtId="0" xfId="0" applyAlignment="1" applyBorder="1" applyFont="1">
      <alignment vertical="center"/>
    </xf>
    <xf borderId="10" fillId="0" fontId="16" numFmtId="0" xfId="0" applyAlignment="1" applyBorder="1" applyFont="1">
      <alignment horizontal="left" vertical="center"/>
    </xf>
    <xf borderId="10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21" fillId="3" fontId="13" numFmtId="0" xfId="0" applyAlignment="1" applyBorder="1" applyFill="1" applyFont="1">
      <alignment horizontal="center" vertical="center"/>
    </xf>
    <xf borderId="22" fillId="3" fontId="13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4" fontId="11" numFmtId="0" xfId="0" applyAlignment="1" applyBorder="1" applyFill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8" fillId="0" fontId="1" numFmtId="14" xfId="0" applyAlignment="1" applyBorder="1" applyFont="1" applyNumberFormat="1">
      <alignment horizontal="left"/>
    </xf>
    <xf borderId="29" fillId="5" fontId="17" numFmtId="0" xfId="0" applyAlignment="1" applyBorder="1" applyFill="1" applyFont="1">
      <alignment horizontal="left"/>
    </xf>
    <xf borderId="30" fillId="5" fontId="17" numFmtId="0" xfId="0" applyAlignment="1" applyBorder="1" applyFont="1">
      <alignment horizontal="left"/>
    </xf>
    <xf borderId="31" fillId="0" fontId="3" numFmtId="0" xfId="0" applyBorder="1" applyFont="1"/>
    <xf borderId="32" fillId="5" fontId="17" numFmtId="164" xfId="0" applyAlignment="1" applyBorder="1" applyFont="1" applyNumberFormat="1">
      <alignment horizontal="right"/>
    </xf>
    <xf borderId="33" fillId="5" fontId="17" numFmtId="0" xfId="0" applyAlignment="1" applyBorder="1" applyFont="1">
      <alignment horizontal="left"/>
    </xf>
    <xf borderId="34" fillId="5" fontId="17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37" fillId="5" fontId="17" numFmtId="164" xfId="0" applyAlignment="1" applyBorder="1" applyFont="1" applyNumberFormat="1">
      <alignment horizontal="right"/>
    </xf>
    <xf borderId="28" fillId="0" fontId="1" numFmtId="14" xfId="0" applyBorder="1" applyFont="1" applyNumberFormat="1"/>
    <xf borderId="37" fillId="5" fontId="17" numFmtId="0" xfId="0" applyAlignment="1" applyBorder="1" applyFont="1">
      <alignment horizontal="right"/>
    </xf>
    <xf borderId="37" fillId="5" fontId="17" numFmtId="4" xfId="0" applyAlignment="1" applyBorder="1" applyFont="1" applyNumberFormat="1">
      <alignment horizontal="right"/>
    </xf>
    <xf borderId="38" fillId="0" fontId="1" numFmtId="14" xfId="0" applyBorder="1" applyFont="1" applyNumberFormat="1"/>
    <xf borderId="39" fillId="5" fontId="17" numFmtId="0" xfId="0" applyAlignment="1" applyBorder="1" applyFont="1">
      <alignment horizontal="left"/>
    </xf>
    <xf borderId="40" fillId="5" fontId="17" numFmtId="0" xfId="0" applyAlignment="1" applyBorder="1" applyFont="1">
      <alignment horizontal="left"/>
    </xf>
    <xf borderId="41" fillId="5" fontId="17" numFmtId="0" xfId="0" applyAlignment="1" applyBorder="1" applyFont="1">
      <alignment horizontal="left"/>
    </xf>
    <xf borderId="42" fillId="5" fontId="17" numFmtId="0" xfId="0" applyAlignment="1" applyBorder="1" applyFont="1">
      <alignment horizontal="left"/>
    </xf>
    <xf borderId="43" fillId="5" fontId="17" numFmtId="0" xfId="0" applyAlignment="1" applyBorder="1" applyFont="1">
      <alignment horizontal="right"/>
    </xf>
    <xf borderId="44" fillId="0" fontId="1" numFmtId="14" xfId="0" applyBorder="1" applyFont="1" applyNumberFormat="1"/>
    <xf borderId="18" fillId="5" fontId="17" numFmtId="0" xfId="0" applyAlignment="1" applyBorder="1" applyFont="1">
      <alignment horizontal="left"/>
    </xf>
    <xf borderId="17" fillId="5" fontId="17" numFmtId="0" xfId="0" applyAlignment="1" applyBorder="1" applyFont="1">
      <alignment horizontal="left"/>
    </xf>
    <xf borderId="45" fillId="0" fontId="3" numFmtId="0" xfId="0" applyBorder="1" applyFont="1"/>
    <xf borderId="46" fillId="5" fontId="17" numFmtId="0" xfId="0" applyAlignment="1" applyBorder="1" applyFont="1">
      <alignment horizontal="right"/>
    </xf>
    <xf borderId="22" fillId="0" fontId="12" numFmtId="0" xfId="0" applyAlignment="1" applyBorder="1" applyFont="1">
      <alignment horizontal="center"/>
    </xf>
    <xf borderId="47" fillId="0" fontId="3" numFmtId="0" xfId="0" applyBorder="1" applyFont="1"/>
    <xf borderId="48" fillId="0" fontId="12" numFmtId="164" xfId="0" applyAlignment="1" applyBorder="1" applyFont="1" applyNumberFormat="1">
      <alignment horizontal="center"/>
    </xf>
    <xf borderId="49" fillId="0" fontId="12" numFmtId="164" xfId="0" applyBorder="1" applyFont="1" applyNumberFormat="1"/>
    <xf borderId="22" fillId="4" fontId="11" numFmtId="0" xfId="0" applyAlignment="1" applyBorder="1" applyFont="1">
      <alignment horizontal="left"/>
    </xf>
    <xf borderId="33" fillId="5" fontId="17" numFmtId="1" xfId="0" applyAlignment="1" applyBorder="1" applyFont="1" applyNumberFormat="1">
      <alignment horizontal="left"/>
    </xf>
    <xf borderId="50" fillId="5" fontId="17" numFmtId="0" xfId="0" applyAlignment="1" applyBorder="1" applyFont="1">
      <alignment horizontal="left"/>
    </xf>
    <xf borderId="50" fillId="5" fontId="17" numFmtId="164" xfId="0" applyAlignment="1" applyBorder="1" applyFont="1" applyNumberFormat="1">
      <alignment horizontal="right"/>
    </xf>
    <xf borderId="37" fillId="5" fontId="17" numFmtId="3" xfId="0" applyAlignment="1" applyBorder="1" applyFont="1" applyNumberFormat="1">
      <alignment horizontal="right"/>
    </xf>
    <xf borderId="15" fillId="0" fontId="12" numFmtId="0" xfId="0" applyAlignment="1" applyBorder="1" applyFont="1">
      <alignment horizontal="center"/>
    </xf>
    <xf borderId="10" fillId="0" fontId="12" numFmtId="164" xfId="0" applyBorder="1" applyFont="1" applyNumberFormat="1"/>
    <xf borderId="22" fillId="0" fontId="12" numFmtId="0" xfId="0" applyAlignment="1" applyBorder="1" applyFont="1">
      <alignment horizontal="right"/>
    </xf>
    <xf borderId="22" fillId="0" fontId="12" numFmtId="164" xfId="0" applyBorder="1" applyFont="1" applyNumberFormat="1"/>
    <xf borderId="23" fillId="0" fontId="12" numFmtId="164" xfId="0" applyBorder="1" applyFont="1" applyNumberFormat="1"/>
    <xf borderId="24" fillId="0" fontId="12" numFmtId="164" xfId="0" applyBorder="1" applyFont="1" applyNumberFormat="1"/>
    <xf borderId="20" fillId="0" fontId="11" numFmtId="164" xfId="0" applyAlignment="1" applyBorder="1" applyFont="1" applyNumberFormat="1">
      <alignment horizontal="center"/>
    </xf>
    <xf borderId="10" fillId="0" fontId="3" numFmtId="0" xfId="0" applyBorder="1" applyFont="1"/>
    <xf borderId="20" fillId="0" fontId="12" numFmtId="0" xfId="0" applyAlignment="1" applyBorder="1" applyFont="1">
      <alignment horizontal="right"/>
    </xf>
    <xf borderId="22" fillId="0" fontId="12" numFmtId="164" xfId="0" applyAlignment="1" applyBorder="1" applyFont="1" applyNumberFormat="1">
      <alignment horizontal="center"/>
    </xf>
    <xf borderId="0" fillId="0" fontId="17" numFmtId="0" xfId="0" applyAlignment="1" applyFont="1">
      <alignment vertical="top"/>
    </xf>
    <xf borderId="1" fillId="0" fontId="17" numFmtId="0" xfId="0" applyAlignment="1" applyBorder="1" applyFont="1">
      <alignment horizontal="left" vertical="top"/>
    </xf>
    <xf borderId="4" fillId="0" fontId="17" numFmtId="0" xfId="0" applyAlignment="1" applyBorder="1" applyFont="1">
      <alignment horizontal="left" vertical="top"/>
    </xf>
    <xf borderId="51" fillId="0" fontId="17" numFmtId="0" xfId="0" applyAlignment="1" applyBorder="1" applyFont="1">
      <alignment horizontal="left" vertical="top"/>
    </xf>
    <xf borderId="0" fillId="0" fontId="17" numFmtId="0" xfId="0" applyAlignment="1" applyFont="1">
      <alignment horizontal="left" vertical="top"/>
    </xf>
    <xf borderId="9" fillId="0" fontId="17" numFmtId="0" xfId="0" applyAlignment="1" applyBorder="1" applyFont="1">
      <alignment horizontal="left" vertical="top"/>
    </xf>
    <xf borderId="8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left"/>
    </xf>
    <xf borderId="52" fillId="0" fontId="1" numFmtId="0" xfId="0" applyAlignment="1" applyBorder="1" applyFont="1">
      <alignment horizontal="left"/>
    </xf>
    <xf borderId="8" fillId="0" fontId="13" numFmtId="0" xfId="0" applyAlignment="1" applyBorder="1" applyFont="1">
      <alignment horizontal="center"/>
    </xf>
    <xf borderId="52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/>
    </xf>
    <xf borderId="8" fillId="0" fontId="19" numFmtId="0" xfId="0" applyAlignment="1" applyBorder="1" applyFont="1">
      <alignment horizontal="left" vertical="center"/>
    </xf>
    <xf borderId="9" fillId="0" fontId="19" numFmtId="0" xfId="0" applyAlignment="1" applyBorder="1" applyFont="1">
      <alignment horizontal="left" vertical="center"/>
    </xf>
    <xf borderId="52" fillId="0" fontId="19" numFmtId="0" xfId="0" applyAlignment="1" applyBorder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8" fillId="0" fontId="20" numFmtId="0" xfId="0" applyAlignment="1" applyBorder="1" applyFont="1">
      <alignment horizontal="left" vertical="center"/>
    </xf>
    <xf borderId="52" fillId="0" fontId="20" numFmtId="0" xfId="0" applyAlignment="1" applyBorder="1" applyFont="1">
      <alignment horizontal="left" vertical="center"/>
    </xf>
    <xf borderId="0" fillId="0" fontId="20" numFmtId="0" xfId="0" applyAlignment="1" applyFont="1">
      <alignment horizontal="left" vertical="center"/>
    </xf>
    <xf borderId="20" fillId="0" fontId="21" numFmtId="0" xfId="0" applyAlignment="1" applyBorder="1" applyFont="1">
      <alignment horizontal="left"/>
    </xf>
    <xf borderId="11" fillId="0" fontId="21" numFmtId="0" xfId="0" applyAlignment="1" applyBorder="1" applyFont="1">
      <alignment horizontal="left"/>
    </xf>
    <xf borderId="53" fillId="0" fontId="21" numFmtId="0" xfId="0" applyAlignment="1" applyBorder="1" applyFont="1">
      <alignment horizontal="left"/>
    </xf>
    <xf borderId="10" fillId="0" fontId="21" numFmtId="0" xfId="0" applyAlignment="1" applyBorder="1" applyFont="1">
      <alignment horizontal="left"/>
    </xf>
    <xf borderId="11" fillId="0" fontId="22" numFmtId="0" xfId="0" applyAlignment="1" applyBorder="1" applyFont="1">
      <alignment horizontal="left" vertical="center"/>
    </xf>
    <xf borderId="0" fillId="0" fontId="10" numFmtId="0" xfId="0" applyAlignment="1" applyFont="1">
      <alignment horizontal="right" vertical="center"/>
    </xf>
    <xf borderId="0" fillId="0" fontId="23" numFmtId="0" xfId="0" applyAlignment="1" applyFont="1">
      <alignment vertical="center"/>
    </xf>
    <xf borderId="10" fillId="0" fontId="1" numFmtId="0" xfId="0" applyBorder="1" applyFont="1"/>
    <xf borderId="0" fillId="0" fontId="13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0</xdr:rowOff>
    </xdr:from>
    <xdr:ext cx="0" cy="123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0.63"/>
    <col customWidth="1" min="3" max="3" width="23.0"/>
    <col customWidth="1" min="4" max="4" width="32.75"/>
    <col customWidth="1" min="5" max="5" width="31.38"/>
    <col customWidth="1" min="6" max="6" width="7.38"/>
    <col customWidth="1" min="7" max="7" width="12.25"/>
    <col customWidth="1" min="8" max="8" width="18.25"/>
    <col customWidth="1" min="9" max="9" width="1.75"/>
    <col customWidth="1" hidden="1" min="10" max="10" width="9.0"/>
    <col customWidth="1" hidden="1" min="11" max="11" width="9.63"/>
    <col customWidth="1" min="12" max="26" width="8.6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0</v>
      </c>
      <c r="C2" s="3"/>
      <c r="D2" s="3"/>
      <c r="E2" s="3"/>
      <c r="F2" s="4"/>
      <c r="G2" s="5" t="s">
        <v>1</v>
      </c>
      <c r="H2" s="6"/>
      <c r="I2" s="7"/>
      <c r="J2" s="8" t="s">
        <v>2</v>
      </c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9"/>
      <c r="C3" s="10"/>
      <c r="D3" s="10"/>
      <c r="E3" s="10"/>
      <c r="F3" s="11"/>
      <c r="G3" s="12" t="s">
        <v>3</v>
      </c>
      <c r="H3" s="13"/>
      <c r="I3" s="14"/>
      <c r="J3" s="15" t="s">
        <v>3</v>
      </c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7" t="s">
        <v>4</v>
      </c>
      <c r="C4" s="18"/>
      <c r="D4" s="18"/>
      <c r="E4" s="18"/>
      <c r="F4" s="18"/>
      <c r="G4" s="18"/>
      <c r="H4" s="19"/>
      <c r="I4" s="20"/>
      <c r="J4" s="20"/>
      <c r="K4" s="2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21"/>
      <c r="B5" s="22" t="s">
        <v>5</v>
      </c>
      <c r="C5" s="23"/>
      <c r="D5" s="24" t="s">
        <v>6</v>
      </c>
      <c r="E5" s="23"/>
      <c r="F5" s="25" t="s">
        <v>7</v>
      </c>
      <c r="G5" s="26">
        <v>45770.0</v>
      </c>
      <c r="H5" s="2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0" customHeight="1">
      <c r="A6" s="21"/>
      <c r="B6" s="28"/>
      <c r="C6" s="29"/>
      <c r="D6" s="30"/>
      <c r="E6" s="31"/>
      <c r="F6" s="32"/>
      <c r="G6" s="33"/>
      <c r="H6" s="34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3.5" customHeight="1">
      <c r="A7" s="35"/>
      <c r="B7" s="36" t="s">
        <v>8</v>
      </c>
      <c r="C7" s="36" t="s">
        <v>9</v>
      </c>
      <c r="D7" s="36" t="s">
        <v>10</v>
      </c>
      <c r="E7" s="37" t="s">
        <v>11</v>
      </c>
      <c r="F7" s="38"/>
      <c r="G7" s="39"/>
      <c r="H7" s="36" t="s">
        <v>12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3.5" customHeight="1">
      <c r="A8" s="1"/>
      <c r="B8" s="40" t="s">
        <v>13</v>
      </c>
      <c r="C8" s="41"/>
      <c r="D8" s="41"/>
      <c r="E8" s="41"/>
      <c r="F8" s="41"/>
      <c r="G8" s="41"/>
      <c r="H8" s="4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43">
        <v>45638.0</v>
      </c>
      <c r="C9" s="44">
        <v>356097.0</v>
      </c>
      <c r="D9" s="44" t="s">
        <v>14</v>
      </c>
      <c r="E9" s="45" t="s">
        <v>15</v>
      </c>
      <c r="F9" s="18"/>
      <c r="G9" s="46"/>
      <c r="H9" s="47">
        <v>2226.0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43">
        <v>45638.0</v>
      </c>
      <c r="C10" s="48">
        <v>8918.0</v>
      </c>
      <c r="D10" s="48" t="s">
        <v>16</v>
      </c>
      <c r="E10" s="49" t="s">
        <v>17</v>
      </c>
      <c r="F10" s="50"/>
      <c r="G10" s="51"/>
      <c r="H10" s="52">
        <v>398.0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43" t="s">
        <v>18</v>
      </c>
      <c r="C11" s="48">
        <v>22326.0</v>
      </c>
      <c r="D11" s="48" t="s">
        <v>19</v>
      </c>
      <c r="E11" s="49" t="s">
        <v>20</v>
      </c>
      <c r="F11" s="50"/>
      <c r="G11" s="51"/>
      <c r="H11" s="52">
        <v>280.0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43" t="s">
        <v>18</v>
      </c>
      <c r="C12" s="48">
        <v>16094.0</v>
      </c>
      <c r="D12" s="48" t="s">
        <v>21</v>
      </c>
      <c r="E12" s="49" t="s">
        <v>22</v>
      </c>
      <c r="F12" s="50"/>
      <c r="G12" s="51"/>
      <c r="H12" s="52">
        <v>345.0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43">
        <v>45272.0</v>
      </c>
      <c r="C13" s="48">
        <v>106610.0</v>
      </c>
      <c r="D13" s="48" t="s">
        <v>19</v>
      </c>
      <c r="E13" s="49" t="s">
        <v>23</v>
      </c>
      <c r="F13" s="50"/>
      <c r="G13" s="51"/>
      <c r="H13" s="52">
        <v>474.5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43" t="s">
        <v>18</v>
      </c>
      <c r="C14" s="48">
        <v>54296.0</v>
      </c>
      <c r="D14" s="48" t="s">
        <v>24</v>
      </c>
      <c r="E14" s="49" t="s">
        <v>22</v>
      </c>
      <c r="F14" s="50"/>
      <c r="G14" s="51"/>
      <c r="H14" s="52">
        <v>8725.0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53" t="s">
        <v>18</v>
      </c>
      <c r="C15" s="48">
        <v>1205746.0</v>
      </c>
      <c r="D15" s="48" t="s">
        <v>21</v>
      </c>
      <c r="E15" s="49" t="s">
        <v>22</v>
      </c>
      <c r="F15" s="50"/>
      <c r="G15" s="51"/>
      <c r="H15" s="54">
        <v>345.0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53" t="s">
        <v>18</v>
      </c>
      <c r="C16" s="48">
        <v>7503.0</v>
      </c>
      <c r="D16" s="48" t="s">
        <v>19</v>
      </c>
      <c r="E16" s="49" t="s">
        <v>25</v>
      </c>
      <c r="F16" s="50"/>
      <c r="G16" s="51"/>
      <c r="H16" s="55">
        <v>1397.32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53" t="s">
        <v>26</v>
      </c>
      <c r="C17" s="48">
        <v>4057054.0</v>
      </c>
      <c r="D17" s="48" t="s">
        <v>27</v>
      </c>
      <c r="E17" s="49" t="s">
        <v>22</v>
      </c>
      <c r="F17" s="50"/>
      <c r="G17" s="51"/>
      <c r="H17" s="54">
        <v>990.0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56">
        <v>45608.0</v>
      </c>
      <c r="C18" s="57">
        <v>14833.0</v>
      </c>
      <c r="D18" s="57" t="s">
        <v>28</v>
      </c>
      <c r="E18" s="58" t="s">
        <v>29</v>
      </c>
      <c r="F18" s="59"/>
      <c r="G18" s="60"/>
      <c r="H18" s="61">
        <v>79.0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56">
        <v>45242.0</v>
      </c>
      <c r="C19" s="57">
        <v>517622.0</v>
      </c>
      <c r="D19" s="57" t="s">
        <v>30</v>
      </c>
      <c r="E19" s="58" t="s">
        <v>29</v>
      </c>
      <c r="F19" s="59"/>
      <c r="G19" s="60"/>
      <c r="H19" s="61">
        <v>18.75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2">
        <v>45608.0</v>
      </c>
      <c r="C20" s="63">
        <v>3426.0</v>
      </c>
      <c r="D20" s="63" t="s">
        <v>16</v>
      </c>
      <c r="E20" s="64" t="s">
        <v>31</v>
      </c>
      <c r="F20" s="65"/>
      <c r="G20" s="23"/>
      <c r="H20" s="66">
        <v>383.75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67" t="s">
        <v>32</v>
      </c>
      <c r="C21" s="38"/>
      <c r="D21" s="38"/>
      <c r="E21" s="68"/>
      <c r="F21" s="69"/>
      <c r="G21" s="68"/>
      <c r="H21" s="70">
        <f>SUM(H9:H20)</f>
        <v>15662.32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71" t="s">
        <v>33</v>
      </c>
      <c r="C22" s="38"/>
      <c r="D22" s="38"/>
      <c r="E22" s="38"/>
      <c r="F22" s="38"/>
      <c r="G22" s="38"/>
      <c r="H22" s="3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53" t="s">
        <v>18</v>
      </c>
      <c r="C23" s="72" t="s">
        <v>34</v>
      </c>
      <c r="D23" s="58" t="s">
        <v>35</v>
      </c>
      <c r="E23" s="73"/>
      <c r="F23" s="74"/>
      <c r="G23" s="74"/>
      <c r="H23" s="75">
        <v>15000.0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53" t="s">
        <v>18</v>
      </c>
      <c r="C24" s="48" t="s">
        <v>34</v>
      </c>
      <c r="D24" s="58" t="s">
        <v>36</v>
      </c>
      <c r="E24" s="73"/>
      <c r="F24" s="74"/>
      <c r="G24" s="74"/>
      <c r="H24" s="75">
        <v>15000.0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53" t="s">
        <v>18</v>
      </c>
      <c r="C25" s="48"/>
      <c r="D25" s="58" t="s">
        <v>37</v>
      </c>
      <c r="E25" s="73"/>
      <c r="F25" s="74"/>
      <c r="G25" s="74"/>
      <c r="H25" s="75">
        <v>210000.0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53"/>
      <c r="C26" s="57"/>
      <c r="D26" s="58"/>
      <c r="E26" s="73"/>
      <c r="F26" s="74"/>
      <c r="G26" s="74"/>
      <c r="H26" s="5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53"/>
      <c r="C27" s="57"/>
      <c r="D27" s="58"/>
      <c r="E27" s="73"/>
      <c r="F27" s="74"/>
      <c r="G27" s="74"/>
      <c r="H27" s="5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76" t="s">
        <v>32</v>
      </c>
      <c r="C28" s="65"/>
      <c r="D28" s="65"/>
      <c r="E28" s="23"/>
      <c r="F28" s="77"/>
      <c r="G28" s="77"/>
      <c r="H28" s="70">
        <f>SUM(H23:H27)</f>
        <v>240000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71" t="s">
        <v>38</v>
      </c>
      <c r="C29" s="38"/>
      <c r="D29" s="38"/>
      <c r="E29" s="38"/>
      <c r="F29" s="38"/>
      <c r="G29" s="38"/>
      <c r="H29" s="3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3" t="s">
        <v>39</v>
      </c>
      <c r="C30" s="48"/>
      <c r="D30" s="58" t="s">
        <v>40</v>
      </c>
      <c r="E30" s="73"/>
      <c r="F30" s="74"/>
      <c r="G30" s="74"/>
      <c r="H30" s="54">
        <v>463.0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53"/>
      <c r="C31" s="72"/>
      <c r="D31" s="58"/>
      <c r="E31" s="73"/>
      <c r="F31" s="74"/>
      <c r="G31" s="74"/>
      <c r="H31" s="5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56"/>
      <c r="C32" s="57"/>
      <c r="D32" s="58"/>
      <c r="E32" s="73"/>
      <c r="F32" s="74"/>
      <c r="G32" s="74"/>
      <c r="H32" s="5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56"/>
      <c r="C33" s="57"/>
      <c r="D33" s="58"/>
      <c r="E33" s="73"/>
      <c r="F33" s="74"/>
      <c r="G33" s="74"/>
      <c r="H33" s="5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56"/>
      <c r="C34" s="57"/>
      <c r="D34" s="58"/>
      <c r="E34" s="73"/>
      <c r="F34" s="74"/>
      <c r="G34" s="74"/>
      <c r="H34" s="5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76" t="s">
        <v>32</v>
      </c>
      <c r="C35" s="65"/>
      <c r="D35" s="65"/>
      <c r="E35" s="23"/>
      <c r="F35" s="77"/>
      <c r="G35" s="77"/>
      <c r="H35" s="70">
        <f>SUM(H30:H34)</f>
        <v>463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78" t="s">
        <v>41</v>
      </c>
      <c r="C36" s="38"/>
      <c r="D36" s="38"/>
      <c r="E36" s="38"/>
      <c r="F36" s="79"/>
      <c r="G36" s="80"/>
      <c r="H36" s="81">
        <f>SUM(H21,H28,H35)</f>
        <v>256125.32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78" t="s">
        <v>42</v>
      </c>
      <c r="C37" s="38"/>
      <c r="D37" s="38"/>
      <c r="E37" s="39"/>
      <c r="F37" s="82">
        <v>270000.0</v>
      </c>
      <c r="G37" s="83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4" t="s">
        <v>43</v>
      </c>
      <c r="C38" s="83"/>
      <c r="D38" s="83"/>
      <c r="E38" s="83"/>
      <c r="F38" s="85">
        <f>H36-F37</f>
        <v>-13874.68</v>
      </c>
      <c r="G38" s="38"/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86"/>
      <c r="B39" s="87" t="s">
        <v>44</v>
      </c>
      <c r="C39" s="88"/>
      <c r="D39" s="89" t="s">
        <v>45</v>
      </c>
      <c r="E39" s="89" t="s">
        <v>46</v>
      </c>
      <c r="F39" s="90" t="s">
        <v>47</v>
      </c>
      <c r="G39" s="90"/>
      <c r="H39" s="91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2.75" customHeight="1">
      <c r="A40" s="1"/>
      <c r="B40" s="92"/>
      <c r="C40" s="93"/>
      <c r="D40" s="94"/>
      <c r="E40" s="94"/>
      <c r="F40" s="95"/>
      <c r="H40" s="1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2"/>
      <c r="C41" s="93"/>
      <c r="D41" s="96" t="s">
        <v>48</v>
      </c>
      <c r="E41" s="96" t="s">
        <v>48</v>
      </c>
      <c r="F41" s="97" t="s">
        <v>49</v>
      </c>
      <c r="H41" s="1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75" customHeight="1">
      <c r="A42" s="1"/>
      <c r="B42" s="98" t="s">
        <v>50</v>
      </c>
      <c r="C42" s="99"/>
      <c r="D42" s="100" t="s">
        <v>50</v>
      </c>
      <c r="E42" s="100" t="s">
        <v>50</v>
      </c>
      <c r="F42" s="101" t="s">
        <v>50</v>
      </c>
      <c r="G42" s="102"/>
      <c r="H42" s="9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9.75" customHeight="1">
      <c r="A43" s="1"/>
      <c r="B43" s="103" t="s">
        <v>51</v>
      </c>
      <c r="C43" s="99"/>
      <c r="D43" s="104" t="s">
        <v>52</v>
      </c>
      <c r="E43" s="104" t="s">
        <v>52</v>
      </c>
      <c r="F43" s="105" t="s">
        <v>53</v>
      </c>
      <c r="G43" s="102"/>
      <c r="H43" s="9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.75" customHeight="1">
      <c r="A44" s="1"/>
      <c r="B44" s="106"/>
      <c r="C44" s="107"/>
      <c r="D44" s="108"/>
      <c r="E44" s="108"/>
      <c r="F44" s="109"/>
      <c r="G44" s="109"/>
      <c r="H44" s="1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75" customHeight="1">
      <c r="A45" s="1"/>
      <c r="B45" s="111"/>
      <c r="I45" s="112"/>
      <c r="J45" s="112"/>
      <c r="K45" s="1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20"/>
      <c r="J49" s="20"/>
      <c r="K49" s="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75" customHeight="1">
      <c r="A50" s="21"/>
      <c r="B50" s="1"/>
      <c r="C50" s="1"/>
      <c r="D50" s="1"/>
      <c r="E50" s="1"/>
      <c r="F50" s="1"/>
      <c r="G50" s="1"/>
      <c r="H50" s="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9.75" customHeight="1">
      <c r="A51" s="21"/>
      <c r="B51" s="1"/>
      <c r="C51" s="1"/>
      <c r="D51" s="1"/>
      <c r="E51" s="1"/>
      <c r="F51" s="1"/>
      <c r="G51" s="1"/>
      <c r="H51" s="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0" customHeight="1">
      <c r="A52" s="21"/>
      <c r="B52" s="1"/>
      <c r="C52" s="1"/>
      <c r="D52" s="1"/>
      <c r="E52" s="1"/>
      <c r="F52" s="1"/>
      <c r="G52" s="1"/>
      <c r="H52" s="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1.25" customHeight="1">
      <c r="A53" s="21"/>
      <c r="B53" s="1"/>
      <c r="C53" s="1"/>
      <c r="D53" s="1"/>
      <c r="E53" s="1"/>
      <c r="F53" s="1"/>
      <c r="G53" s="1"/>
      <c r="H53" s="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1.25" customHeight="1">
      <c r="A54" s="21"/>
      <c r="B54" s="1"/>
      <c r="C54" s="1"/>
      <c r="D54" s="1"/>
      <c r="E54" s="1"/>
      <c r="F54" s="1"/>
      <c r="G54" s="1"/>
      <c r="H54" s="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1.25" customHeight="1">
      <c r="A55" s="21"/>
      <c r="B55" s="1"/>
      <c r="C55" s="1"/>
      <c r="D55" s="1"/>
      <c r="E55" s="1"/>
      <c r="F55" s="1"/>
      <c r="G55" s="1"/>
      <c r="H55" s="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1.25" customHeight="1">
      <c r="A56" s="21"/>
      <c r="B56" s="1"/>
      <c r="C56" s="1"/>
      <c r="D56" s="1"/>
      <c r="E56" s="1"/>
      <c r="F56" s="1"/>
      <c r="G56" s="1"/>
      <c r="H56" s="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3.5" customHeight="1">
      <c r="A57" s="35"/>
      <c r="B57" s="1"/>
      <c r="C57" s="1"/>
      <c r="D57" s="1"/>
      <c r="E57" s="1"/>
      <c r="F57" s="1"/>
      <c r="G57" s="1"/>
      <c r="H57" s="1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3.25" customHeight="1">
      <c r="A90" s="86"/>
      <c r="B90" s="1"/>
      <c r="C90" s="1"/>
      <c r="D90" s="1"/>
      <c r="E90" s="1"/>
      <c r="F90" s="1"/>
      <c r="G90" s="1"/>
      <c r="H90" s="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75" customHeight="1">
      <c r="A95" s="1"/>
      <c r="B95" s="113"/>
      <c r="C95" s="113"/>
      <c r="D95" s="1"/>
      <c r="E95" s="113"/>
      <c r="F95" s="113"/>
      <c r="G95" s="113"/>
      <c r="H95" s="11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75" customHeight="1">
      <c r="A99" s="1"/>
      <c r="B99" s="11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75" customHeight="1">
      <c r="A100" s="1"/>
      <c r="B100" s="115"/>
      <c r="C100" s="115"/>
      <c r="D100" s="1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75" customHeight="1">
      <c r="A101" s="1"/>
      <c r="B101" s="115"/>
      <c r="C101" s="115"/>
      <c r="D101" s="11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75" customHeight="1">
      <c r="A102" s="1"/>
      <c r="B102" s="115"/>
      <c r="C102" s="115"/>
      <c r="D102" s="11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75" customHeight="1">
      <c r="A103" s="1"/>
      <c r="B103" s="115"/>
      <c r="C103" s="115"/>
      <c r="D103" s="11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75" customHeight="1">
      <c r="A104" s="1"/>
      <c r="B104" s="115"/>
      <c r="C104" s="115"/>
      <c r="D104" s="11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75" customHeight="1">
      <c r="A105" s="1"/>
      <c r="B105" s="115"/>
      <c r="C105" s="115"/>
      <c r="D105" s="11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75" customHeight="1">
      <c r="A106" s="1"/>
      <c r="B106" s="115"/>
      <c r="C106" s="115"/>
      <c r="D106" s="11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75" customHeight="1">
      <c r="A107" s="1"/>
      <c r="B107" s="115"/>
      <c r="C107" s="115"/>
      <c r="D107" s="1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75" customHeight="1">
      <c r="A108" s="1"/>
      <c r="B108" s="115"/>
      <c r="C108" s="115"/>
      <c r="D108" s="11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75" customHeight="1">
      <c r="A109" s="1"/>
      <c r="B109" s="115"/>
      <c r="C109" s="115"/>
      <c r="D109" s="11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75" customHeight="1">
      <c r="A110" s="1"/>
      <c r="B110" s="115"/>
      <c r="C110" s="115"/>
      <c r="D110" s="1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75" customHeight="1">
      <c r="A111" s="1"/>
      <c r="B111" s="115"/>
      <c r="C111" s="1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75" customHeight="1">
      <c r="A112" s="1"/>
      <c r="B112" s="115"/>
      <c r="C112" s="1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9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9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B2:F3"/>
    <mergeCell ref="G2:H2"/>
    <mergeCell ref="J2:K2"/>
    <mergeCell ref="G3:H3"/>
    <mergeCell ref="J3:K3"/>
    <mergeCell ref="B4:H4"/>
    <mergeCell ref="B5:C5"/>
    <mergeCell ref="D5:E5"/>
    <mergeCell ref="G5:H5"/>
    <mergeCell ref="E7:G7"/>
    <mergeCell ref="B8:H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20:G20"/>
    <mergeCell ref="B37:E37"/>
    <mergeCell ref="F37:H37"/>
    <mergeCell ref="B38:E38"/>
    <mergeCell ref="F38:H38"/>
    <mergeCell ref="F40:H40"/>
    <mergeCell ref="F41:H41"/>
    <mergeCell ref="B45:H45"/>
    <mergeCell ref="B21:E21"/>
    <mergeCell ref="F21:G21"/>
    <mergeCell ref="B22:H22"/>
    <mergeCell ref="B28:E28"/>
    <mergeCell ref="B29:H29"/>
    <mergeCell ref="B35:E35"/>
    <mergeCell ref="B36:E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2024-08-16T02:50:42Z</dcterms:created>
  <dc:creator>Rhon Ermertson Burdeos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2024-08-16T06:25:31Z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361c4be1-3009-43f6-814a-10dff57ec1ad</vt:lpwstr>
  </property>
  <property fmtid="{D5CDD505-2E9C-101B-9397-08002B2CF9AE}" pid="8" name="MSIP_Label_8a813f4b-519a-4481-a498-85770f517757_ContentBits">
    <vt:lpwstr>0</vt:lpwstr>
  </property>
</Properties>
</file>